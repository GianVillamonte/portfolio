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anc\Box Sync\WUR\3.Tesis\3.data\R analysis\"/>
    </mc:Choice>
  </mc:AlternateContent>
  <xr:revisionPtr revIDLastSave="0" documentId="13_ncr:1_{854D73D1-5497-4047-9164-F1F5A14D9A46}" xr6:coauthVersionLast="44" xr6:coauthVersionMax="44" xr10:uidLastSave="{00000000-0000-0000-0000-000000000000}"/>
  <bookViews>
    <workbookView xWindow="-110" yWindow="-110" windowWidth="19420" windowHeight="10420" xr2:uid="{A16F8D55-D20A-4C83-A465-13A709AFDB8B}"/>
  </bookViews>
  <sheets>
    <sheet name="richness" sheetId="1" r:id="rId1"/>
    <sheet name="sc1" sheetId="6" r:id="rId2"/>
    <sheet name="sc2" sheetId="3" r:id="rId3"/>
    <sheet name="density" sheetId="4" r:id="rId4"/>
    <sheet name="r2" sheetId="5" r:id="rId5"/>
  </sheets>
  <definedNames>
    <definedName name="_xlnm._FilterDatabase" localSheetId="1" hidden="1">'sc1'!$A$1:$C$10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2" i="5"/>
</calcChain>
</file>

<file path=xl/sharedStrings.xml><?xml version="1.0" encoding="utf-8"?>
<sst xmlns="http://schemas.openxmlformats.org/spreadsheetml/2006/main" count="44" uniqueCount="29">
  <si>
    <t>variables</t>
  </si>
  <si>
    <t>estimates</t>
  </si>
  <si>
    <t>errors</t>
  </si>
  <si>
    <t>r2m</t>
  </si>
  <si>
    <t>r2c</t>
  </si>
  <si>
    <t>richness</t>
  </si>
  <si>
    <t>sc1</t>
  </si>
  <si>
    <t>sc2</t>
  </si>
  <si>
    <t>density</t>
  </si>
  <si>
    <t>model</t>
  </si>
  <si>
    <t>mines effect</t>
  </si>
  <si>
    <t>Canopy closure</t>
  </si>
  <si>
    <t>Successional age</t>
  </si>
  <si>
    <t>Secondary forest area</t>
  </si>
  <si>
    <t>Old-growth forest area</t>
  </si>
  <si>
    <t>Mining floor:Planted PCoA 2</t>
  </si>
  <si>
    <t>Mining floor</t>
  </si>
  <si>
    <t>Wet tailings</t>
  </si>
  <si>
    <t>Dry tailings:Old-growth forest area</t>
  </si>
  <si>
    <t>Dry tailings:Planted PCoA 2</t>
  </si>
  <si>
    <t>Soil1(cation&amp;sand axis)</t>
  </si>
  <si>
    <t xml:space="preserve"> Canopy closure:Planted PCoA 2</t>
  </si>
  <si>
    <t>Planted density</t>
  </si>
  <si>
    <t>Soil2(pH&amp;clay axis):Planted richness</t>
  </si>
  <si>
    <t>Soil2(pH&amp;clay axis):Planted density</t>
  </si>
  <si>
    <t>Canopy closure:Planted density</t>
  </si>
  <si>
    <t>Litter depth:Planted density</t>
  </si>
  <si>
    <t>Secondary forest area:
Soil1(cation&amp;sand axis)</t>
  </si>
  <si>
    <t>Washing plant:Old-growth forest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</si>
</sst>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2635250</xdr:colOff>
      <xdr:row>26</xdr:row>
      <xdr:rowOff>9176</xdr:rowOff>
    </xdr:from>
    <xdr:to>
      <xdr:col>3</xdr:col>
      <xdr:colOff>584200</xdr:colOff>
      <xdr:row>32</xdr:row>
      <xdr:rowOff>161529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EFD3F81-5F5E-45C6-AD07-78AC0F7B7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5250" y="4797076"/>
          <a:ext cx="2070100" cy="12572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2D00-E910-4D5A-B13D-7964B05C779A}">
  <dimension ref="A1:C8"/>
  <sheetViews>
    <sheetView tabSelected="1" workbookViewId="0">
      <selection activeCell="A7" sqref="A7"/>
    </sheetView>
  </sheetViews>
  <sheetFormatPr defaultRowHeight="14.5" x14ac:dyDescent="0.35"/>
  <cols>
    <col min="1" max="1" width="32.7265625" bestFit="1" customWidth="1"/>
    <col min="2" max="2" width="11.453125" bestFit="1" customWidth="1"/>
    <col min="3" max="3" width="9.81640625" bestFit="1" customWidth="1"/>
    <col min="6" max="6" width="25" bestFit="1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2" t="s">
        <v>12</v>
      </c>
      <c r="B2" s="2">
        <v>0.28499999999999998</v>
      </c>
      <c r="C2" s="2">
        <v>0.10299999999999999</v>
      </c>
    </row>
    <row r="3" spans="1:3" x14ac:dyDescent="0.35">
      <c r="A3" s="2" t="s">
        <v>11</v>
      </c>
      <c r="B3" s="2">
        <v>0.39600000000000002</v>
      </c>
      <c r="C3" s="2">
        <v>0.105</v>
      </c>
    </row>
    <row r="4" spans="1:3" x14ac:dyDescent="0.35">
      <c r="A4" s="2" t="s">
        <v>21</v>
      </c>
      <c r="B4" s="2">
        <v>0.48799999999999999</v>
      </c>
      <c r="C4" s="2">
        <v>0.13300000000000001</v>
      </c>
    </row>
    <row r="5" spans="1:3" x14ac:dyDescent="0.35">
      <c r="A5" s="2" t="s">
        <v>18</v>
      </c>
      <c r="B5" s="2">
        <v>0.43</v>
      </c>
      <c r="C5" s="2">
        <v>0.19900000000000001</v>
      </c>
    </row>
    <row r="6" spans="1:3" x14ac:dyDescent="0.35">
      <c r="A6" s="2" t="s">
        <v>19</v>
      </c>
      <c r="B6" s="2">
        <v>-0.626</v>
      </c>
      <c r="C6" s="2">
        <v>0.17299999999999999</v>
      </c>
    </row>
    <row r="7" spans="1:3" x14ac:dyDescent="0.35">
      <c r="A7" s="2" t="s">
        <v>28</v>
      </c>
      <c r="B7" s="2">
        <v>0.45400000000000001</v>
      </c>
      <c r="C7" s="2">
        <v>0.191</v>
      </c>
    </row>
    <row r="8" spans="1:3" x14ac:dyDescent="0.35">
      <c r="A8" s="2" t="s">
        <v>23</v>
      </c>
      <c r="B8" s="2">
        <v>0.42599999999999999</v>
      </c>
      <c r="C8" s="2">
        <v>0.106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21B08-DE59-4CD3-A159-4B9257D04056}">
  <dimension ref="A1:C10"/>
  <sheetViews>
    <sheetView workbookViewId="0">
      <selection activeCell="C16" sqref="C16"/>
    </sheetView>
  </sheetViews>
  <sheetFormatPr defaultRowHeight="14.5" x14ac:dyDescent="0.35"/>
  <cols>
    <col min="1" max="1" width="30.26953125" bestFit="1" customWidth="1"/>
    <col min="2" max="2" width="13.36328125" bestFit="1" customWidth="1"/>
    <col min="3" max="3" width="10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12</v>
      </c>
      <c r="B2" s="4">
        <v>-0.20599999999999999</v>
      </c>
      <c r="C2" s="4">
        <v>7.9000000000000001E-2</v>
      </c>
    </row>
    <row r="3" spans="1:3" x14ac:dyDescent="0.35">
      <c r="A3" s="1" t="s">
        <v>22</v>
      </c>
      <c r="B3" s="4">
        <v>-0.215</v>
      </c>
      <c r="C3" s="4">
        <v>6.9000000000000006E-2</v>
      </c>
    </row>
    <row r="4" spans="1:3" x14ac:dyDescent="0.35">
      <c r="A4" s="1" t="s">
        <v>14</v>
      </c>
      <c r="B4" s="4">
        <v>-0.32600000000000001</v>
      </c>
      <c r="C4" s="4">
        <v>8.3000000000000004E-2</v>
      </c>
    </row>
    <row r="5" spans="1:3" x14ac:dyDescent="0.35">
      <c r="A5" s="1" t="s">
        <v>13</v>
      </c>
      <c r="B5" s="4">
        <v>-0.32900000000000001</v>
      </c>
      <c r="C5" s="4">
        <v>9.7000000000000003E-2</v>
      </c>
    </row>
    <row r="6" spans="1:3" x14ac:dyDescent="0.35">
      <c r="A6" s="1" t="s">
        <v>16</v>
      </c>
      <c r="B6" s="4">
        <v>-0.84399999999999997</v>
      </c>
      <c r="C6" s="4">
        <v>0.22</v>
      </c>
    </row>
    <row r="7" spans="1:3" x14ac:dyDescent="0.35">
      <c r="A7" s="1" t="s">
        <v>17</v>
      </c>
      <c r="B7" s="4">
        <v>0.61199999999999999</v>
      </c>
      <c r="C7" s="4">
        <v>0.26900000000000002</v>
      </c>
    </row>
    <row r="8" spans="1:3" x14ac:dyDescent="0.35">
      <c r="A8" s="1" t="s">
        <v>20</v>
      </c>
      <c r="B8" s="4">
        <v>0.48899999999999999</v>
      </c>
      <c r="C8" s="4">
        <v>7.2999999999999995E-2</v>
      </c>
    </row>
    <row r="9" spans="1:3" x14ac:dyDescent="0.35">
      <c r="A9" s="1" t="s">
        <v>15</v>
      </c>
      <c r="B9" s="4">
        <v>-0.37</v>
      </c>
      <c r="C9" s="4">
        <v>0.122</v>
      </c>
    </row>
    <row r="10" spans="1:3" x14ac:dyDescent="0.35">
      <c r="A10" s="1" t="s">
        <v>24</v>
      </c>
      <c r="B10" s="4">
        <v>-0.16500000000000001</v>
      </c>
      <c r="C10" s="4">
        <v>7.3999999999999996E-2</v>
      </c>
    </row>
  </sheetData>
  <autoFilter ref="A1:C10" xr:uid="{59353C19-C9EF-40FE-9B53-0C8E215C4E0A}">
    <sortState xmlns:xlrd2="http://schemas.microsoft.com/office/spreadsheetml/2017/richdata2" ref="A2:C10">
      <sortCondition ref="A1:A10"/>
    </sortState>
  </autoFilter>
  <sortState xmlns:xlrd2="http://schemas.microsoft.com/office/spreadsheetml/2017/richdata2" ref="A6:C10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1307E-8AB4-48B9-B2E9-2C3C8B974E21}">
  <dimension ref="A1:C4"/>
  <sheetViews>
    <sheetView workbookViewId="0">
      <selection activeCell="F9" sqref="F9"/>
    </sheetView>
  </sheetViews>
  <sheetFormatPr defaultRowHeight="14.5" x14ac:dyDescent="0.35"/>
  <cols>
    <col min="1" max="1" width="39.453125" bestFit="1" customWidth="1"/>
    <col min="2" max="2" width="9.453125" bestFit="1" customWidth="1"/>
    <col min="3" max="3" width="8.81640625" bestFit="1" customWidth="1"/>
    <col min="5" max="5" width="8.81640625" bestFit="1" customWidth="1"/>
    <col min="6" max="6" width="2.81640625" bestFit="1" customWidth="1"/>
  </cols>
  <sheetData>
    <row r="1" spans="1:3" x14ac:dyDescent="0.35">
      <c r="A1" s="5" t="s">
        <v>0</v>
      </c>
      <c r="B1" s="5" t="s">
        <v>1</v>
      </c>
      <c r="C1" s="5" t="s">
        <v>2</v>
      </c>
    </row>
    <row r="2" spans="1:3" x14ac:dyDescent="0.35">
      <c r="A2" s="1" t="s">
        <v>13</v>
      </c>
      <c r="B2" s="4">
        <v>-0.23799999999999999</v>
      </c>
      <c r="C2" s="4">
        <v>0.11899999999999999</v>
      </c>
    </row>
    <row r="3" spans="1:3" x14ac:dyDescent="0.35">
      <c r="A3" s="1" t="s">
        <v>20</v>
      </c>
      <c r="B3" s="4">
        <v>-0.22700000000000001</v>
      </c>
      <c r="C3" s="4">
        <v>0.1</v>
      </c>
    </row>
    <row r="4" spans="1:3" ht="29" x14ac:dyDescent="0.35">
      <c r="A4" s="6" t="s">
        <v>27</v>
      </c>
      <c r="B4" s="4">
        <v>0.32500000000000001</v>
      </c>
      <c r="C4" s="4">
        <v>0.15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D40EC-499B-47E7-A3A0-7AC87E5EEA92}">
  <dimension ref="A1:C6"/>
  <sheetViews>
    <sheetView workbookViewId="0">
      <selection activeCell="B11" sqref="B11"/>
    </sheetView>
  </sheetViews>
  <sheetFormatPr defaultRowHeight="14.5" x14ac:dyDescent="0.35"/>
  <cols>
    <col min="1" max="1" width="27.1796875" bestFit="1" customWidth="1"/>
    <col min="2" max="2" width="10.453125" bestFit="1" customWidth="1"/>
    <col min="3" max="3" width="10.81640625" bestFit="1" customWidth="1"/>
    <col min="5" max="5" width="37.7265625" bestFit="1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2" t="s">
        <v>12</v>
      </c>
      <c r="B2" s="2">
        <v>0.25</v>
      </c>
      <c r="C2" s="2">
        <v>0.107</v>
      </c>
    </row>
    <row r="3" spans="1:3" x14ac:dyDescent="0.35">
      <c r="A3" s="2" t="s">
        <v>20</v>
      </c>
      <c r="B3" s="2">
        <v>-0.37</v>
      </c>
      <c r="C3" s="2">
        <v>0.105</v>
      </c>
    </row>
    <row r="4" spans="1:3" x14ac:dyDescent="0.35">
      <c r="A4" s="2" t="s">
        <v>17</v>
      </c>
      <c r="B4" s="2">
        <v>-0.98899999999999999</v>
      </c>
      <c r="C4" s="2">
        <v>0.33100000000000002</v>
      </c>
    </row>
    <row r="5" spans="1:3" x14ac:dyDescent="0.35">
      <c r="A5" s="2" t="s">
        <v>25</v>
      </c>
      <c r="B5" s="2">
        <v>0.16200000000000001</v>
      </c>
      <c r="C5" s="2">
        <v>6.5000000000000002E-2</v>
      </c>
    </row>
    <row r="6" spans="1:3" x14ac:dyDescent="0.35">
      <c r="A6" s="2" t="s">
        <v>26</v>
      </c>
      <c r="B6" s="2">
        <v>-0.247</v>
      </c>
      <c r="C6" s="2">
        <v>7.9000000000000001E-2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08CCE-E69C-4A36-88A2-279B38A34382}">
  <dimension ref="A1:D5"/>
  <sheetViews>
    <sheetView workbookViewId="0">
      <selection activeCell="A3" sqref="A3:C5"/>
    </sheetView>
  </sheetViews>
  <sheetFormatPr defaultRowHeight="14.5" x14ac:dyDescent="0.35"/>
  <cols>
    <col min="1" max="1" width="7.6328125" bestFit="1" customWidth="1"/>
    <col min="4" max="4" width="11" bestFit="1" customWidth="1"/>
  </cols>
  <sheetData>
    <row r="1" spans="1:4" x14ac:dyDescent="0.35">
      <c r="A1" t="s">
        <v>9</v>
      </c>
      <c r="B1" t="s">
        <v>3</v>
      </c>
      <c r="C1" t="s">
        <v>4</v>
      </c>
      <c r="D1" t="s">
        <v>10</v>
      </c>
    </row>
    <row r="2" spans="1:4" x14ac:dyDescent="0.35">
      <c r="A2" t="s">
        <v>5</v>
      </c>
      <c r="B2">
        <v>0.50306519999999999</v>
      </c>
      <c r="C2">
        <v>0.50306519999999999</v>
      </c>
      <c r="D2">
        <f>C2-B2</f>
        <v>0</v>
      </c>
    </row>
    <row r="3" spans="1:4" x14ac:dyDescent="0.35">
      <c r="A3" t="s">
        <v>6</v>
      </c>
      <c r="B3">
        <v>0.75648190000000004</v>
      </c>
      <c r="C3">
        <v>0.77596690000000001</v>
      </c>
      <c r="D3">
        <f t="shared" ref="D3:D5" si="0">C3-B3</f>
        <v>1.9484999999999975E-2</v>
      </c>
    </row>
    <row r="4" spans="1:4" x14ac:dyDescent="0.35">
      <c r="A4" t="s">
        <v>7</v>
      </c>
      <c r="B4">
        <v>0.29944209999999999</v>
      </c>
      <c r="C4">
        <v>0.34553159999999999</v>
      </c>
      <c r="D4">
        <f t="shared" si="0"/>
        <v>4.6089500000000005E-2</v>
      </c>
    </row>
    <row r="5" spans="1:4" x14ac:dyDescent="0.35">
      <c r="A5" t="s">
        <v>8</v>
      </c>
      <c r="B5">
        <v>0.41478969999999998</v>
      </c>
      <c r="C5">
        <v>0.44372729999999999</v>
      </c>
      <c r="D5">
        <f t="shared" si="0"/>
        <v>2.8937600000000008E-2</v>
      </c>
    </row>
  </sheetData>
  <conditionalFormatting sqref="B2:C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richness</vt:lpstr>
      <vt:lpstr>sc1</vt:lpstr>
      <vt:lpstr>sc2</vt:lpstr>
      <vt:lpstr>density</vt:lpstr>
      <vt:lpstr>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Gianfranco Villamonte</dc:creator>
  <cp:lastModifiedBy>Gianfranco Villamonte</cp:lastModifiedBy>
  <dcterms:created xsi:type="dcterms:W3CDTF">2020-02-26T00:27:14Z</dcterms:created>
  <dcterms:modified xsi:type="dcterms:W3CDTF">2020-06-15T04:42:42Z</dcterms:modified>
</cp:coreProperties>
</file>